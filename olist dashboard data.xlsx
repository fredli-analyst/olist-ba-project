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oo\Downloads\"/>
    </mc:Choice>
  </mc:AlternateContent>
  <xr:revisionPtr revIDLastSave="0" documentId="13_ncr:1_{ED56FE83-9C10-46D0-A34B-E56AC5E428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I Summary" sheetId="1" r:id="rId1"/>
    <sheet name="Delivery by State" sheetId="2" r:id="rId2"/>
    <sheet name="Review Distribution" sheetId="3" r:id="rId3"/>
    <sheet name="Late vs OnTime Reviews" sheetId="4" r:id="rId4"/>
    <sheet name="Product Category" sheetId="5" r:id="rId5"/>
  </sheets>
  <calcPr calcId="0"/>
</workbook>
</file>

<file path=xl/sharedStrings.xml><?xml version="1.0" encoding="utf-8"?>
<sst xmlns="http://schemas.openxmlformats.org/spreadsheetml/2006/main" count="95" uniqueCount="88">
  <si>
    <t>KPI</t>
  </si>
  <si>
    <t>Value</t>
  </si>
  <si>
    <t>Context</t>
  </si>
  <si>
    <t>Total Revenue ($)</t>
  </si>
  <si>
    <t>Total platform revenue 2016-2018</t>
  </si>
  <si>
    <t>Total Delivered Orders</t>
  </si>
  <si>
    <t>Orders with confirmed delivery</t>
  </si>
  <si>
    <t>Total Unique Customers</t>
  </si>
  <si>
    <t>Distinct customers (excl. repeat orders)</t>
  </si>
  <si>
    <t>Total Active Sellers</t>
  </si>
  <si>
    <t>Sellers on Olist platform</t>
  </si>
  <si>
    <t>Late Deliveries</t>
  </si>
  <si>
    <t>Delivered after estimated date</t>
  </si>
  <si>
    <t>Late Delivery Rate (%)</t>
  </si>
  <si>
    <t>Target: &lt;5%</t>
  </si>
  <si>
    <t>Average Review Score</t>
  </si>
  <si>
    <t>Out of 5.0 — Target: &gt;4.5</t>
  </si>
  <si>
    <t>Total 1-Star Reviews</t>
  </si>
  <si>
    <t>Customers rating experience 1/5</t>
  </si>
  <si>
    <t>1-Star Review Rate (%)</t>
  </si>
  <si>
    <t>State</t>
  </si>
  <si>
    <t>Total Orders</t>
  </si>
  <si>
    <t>Late Orders</t>
  </si>
  <si>
    <t>Avg Days Late</t>
  </si>
  <si>
    <t>Avg Review Score</t>
  </si>
  <si>
    <t>1-Star Count</t>
  </si>
  <si>
    <t>Late Rate (%)</t>
  </si>
  <si>
    <t>1-Star Rate (%)</t>
  </si>
  <si>
    <t>AL</t>
  </si>
  <si>
    <t>MA</t>
  </si>
  <si>
    <t>PI</t>
  </si>
  <si>
    <t>CE</t>
  </si>
  <si>
    <t>SE</t>
  </si>
  <si>
    <t>BA</t>
  </si>
  <si>
    <t>RJ</t>
  </si>
  <si>
    <t>TO</t>
  </si>
  <si>
    <t>PA</t>
  </si>
  <si>
    <t>ES</t>
  </si>
  <si>
    <t>MS</t>
  </si>
  <si>
    <t>PB</t>
  </si>
  <si>
    <t>RN</t>
  </si>
  <si>
    <t>PE</t>
  </si>
  <si>
    <t>SC</t>
  </si>
  <si>
    <t>GO</t>
  </si>
  <si>
    <t>RS</t>
  </si>
  <si>
    <t>DF</t>
  </si>
  <si>
    <t>MT</t>
  </si>
  <si>
    <t>SP</t>
  </si>
  <si>
    <t>MG</t>
  </si>
  <si>
    <t>PR</t>
  </si>
  <si>
    <t>AM</t>
  </si>
  <si>
    <t>RO</t>
  </si>
  <si>
    <t>Review Score</t>
  </si>
  <si>
    <t>Count</t>
  </si>
  <si>
    <t>Percentage (%)</t>
  </si>
  <si>
    <t>Label</t>
  </si>
  <si>
    <t>1 Star - Very Dissatisfied</t>
  </si>
  <si>
    <t>2 Stars - Dissatisfied</t>
  </si>
  <si>
    <t>3 Stars - Neutral</t>
  </si>
  <si>
    <t>4 Stars - Satisfied</t>
  </si>
  <si>
    <t>5 Stars - Very Satisfied</t>
  </si>
  <si>
    <t>Late Orders Count</t>
  </si>
  <si>
    <t>On-Time Orders Count</t>
  </si>
  <si>
    <t>Late %</t>
  </si>
  <si>
    <t>On-Time %</t>
  </si>
  <si>
    <t>Category</t>
  </si>
  <si>
    <t>Avg Price ($)</t>
  </si>
  <si>
    <t>Avg Review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</si>
  <si>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</si>
  <si>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</si>
  <si>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</si>
  <si>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</si>
  <si>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</si>
  <si>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</si>
  <si>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</si>
  <si>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</si>
  <si>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</si>
  <si>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</si>
  <si>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</si>
  <si>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</si>
  <si>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</si>
  <si>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</si>
  <si>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</si>
  <si>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</si>
  <si>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</si>
  <si>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small_appliances</t>
  </si>
  <si>
    <t>musical_instruments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</si>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</sst>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Late Delivery Rate vs 1-Star Review Rate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by State'!$G$1</c:f>
              <c:strCache>
                <c:ptCount val="1"/>
                <c:pt idx="0">
                  <c:v>Late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by State'!$A$2:$A$25</c:f>
              <c:strCache>
                <c:ptCount val="24"/>
                <c:pt idx="0">
                  <c:v>AL</c:v>
                </c:pt>
                <c:pt idx="1">
                  <c:v>MA</c:v>
                </c:pt>
                <c:pt idx="2">
                  <c:v>PI</c:v>
                </c:pt>
                <c:pt idx="3">
                  <c:v>CE</c:v>
                </c:pt>
                <c:pt idx="4">
                  <c:v>SE</c:v>
                </c:pt>
                <c:pt idx="5">
                  <c:v>BA</c:v>
                </c:pt>
                <c:pt idx="6">
                  <c:v>RJ</c:v>
                </c:pt>
                <c:pt idx="7">
                  <c:v>TO</c:v>
                </c:pt>
                <c:pt idx="8">
                  <c:v>PA</c:v>
                </c:pt>
                <c:pt idx="9">
                  <c:v>ES</c:v>
                </c:pt>
                <c:pt idx="10">
                  <c:v>MS</c:v>
                </c:pt>
                <c:pt idx="11">
                  <c:v>PB</c:v>
                </c:pt>
                <c:pt idx="12">
                  <c:v>RN</c:v>
                </c:pt>
                <c:pt idx="13">
                  <c:v>PE</c:v>
                </c:pt>
                <c:pt idx="14">
                  <c:v>SC</c:v>
                </c:pt>
                <c:pt idx="15">
                  <c:v>GO</c:v>
                </c:pt>
                <c:pt idx="16">
                  <c:v>RS</c:v>
                </c:pt>
                <c:pt idx="17">
                  <c:v>DF</c:v>
                </c:pt>
                <c:pt idx="18">
                  <c:v>MT</c:v>
                </c:pt>
                <c:pt idx="19">
                  <c:v>SP</c:v>
                </c:pt>
                <c:pt idx="20">
                  <c:v>MG</c:v>
                </c:pt>
                <c:pt idx="21">
                  <c:v>PR</c:v>
                </c:pt>
                <c:pt idx="22">
                  <c:v>AM</c:v>
                </c:pt>
                <c:pt idx="23">
                  <c:v>RO</c:v>
                </c:pt>
              </c:strCache>
            </c:strRef>
          </c:cat>
          <c:val>
            <c:numRef>
              <c:f>'Delivery by State'!$G$2:$G$25</c:f>
              <c:numCache>
                <c:formatCode>General</c:formatCode>
                <c:ptCount val="24"/>
                <c:pt idx="0">
                  <c:v>23.9</c:v>
                </c:pt>
                <c:pt idx="1">
                  <c:v>19.600000000000001</c:v>
                </c:pt>
                <c:pt idx="2">
                  <c:v>15.9</c:v>
                </c:pt>
                <c:pt idx="3">
                  <c:v>15.4</c:v>
                </c:pt>
                <c:pt idx="4">
                  <c:v>15.2</c:v>
                </c:pt>
                <c:pt idx="5">
                  <c:v>14.1</c:v>
                </c:pt>
                <c:pt idx="6">
                  <c:v>13.5</c:v>
                </c:pt>
                <c:pt idx="7">
                  <c:v>12.8</c:v>
                </c:pt>
                <c:pt idx="8">
                  <c:v>12.3</c:v>
                </c:pt>
                <c:pt idx="9">
                  <c:v>12.2</c:v>
                </c:pt>
                <c:pt idx="10">
                  <c:v>11.5</c:v>
                </c:pt>
                <c:pt idx="11">
                  <c:v>11</c:v>
                </c:pt>
                <c:pt idx="12">
                  <c:v>10.7</c:v>
                </c:pt>
                <c:pt idx="13">
                  <c:v>10.7</c:v>
                </c:pt>
                <c:pt idx="14">
                  <c:v>9.8000000000000007</c:v>
                </c:pt>
                <c:pt idx="15">
                  <c:v>8.1999999999999993</c:v>
                </c:pt>
                <c:pt idx="16">
                  <c:v>7.2</c:v>
                </c:pt>
                <c:pt idx="17">
                  <c:v>7.1</c:v>
                </c:pt>
                <c:pt idx="18">
                  <c:v>6.7</c:v>
                </c:pt>
                <c:pt idx="19">
                  <c:v>5.9</c:v>
                </c:pt>
                <c:pt idx="20">
                  <c:v>5.6</c:v>
                </c:pt>
                <c:pt idx="21">
                  <c:v>5</c:v>
                </c:pt>
                <c:pt idx="22">
                  <c:v>4.0999999999999996</c:v>
                </c:pt>
                <c:pt idx="23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5-4711-9588-71EF4BEA0CE7}"/>
            </c:ext>
          </c:extLst>
        </c:ser>
        <c:ser>
          <c:idx val="1"/>
          <c:order val="1"/>
          <c:tx>
            <c:strRef>
              <c:f>'Delivery by State'!$H$1</c:f>
              <c:strCache>
                <c:ptCount val="1"/>
                <c:pt idx="0">
                  <c:v>1-Star Rate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'Delivery by State'!$A$2:$A$25</c:f>
              <c:strCache>
                <c:ptCount val="24"/>
                <c:pt idx="0">
                  <c:v>AL</c:v>
                </c:pt>
                <c:pt idx="1">
                  <c:v>MA</c:v>
                </c:pt>
                <c:pt idx="2">
                  <c:v>PI</c:v>
                </c:pt>
                <c:pt idx="3">
                  <c:v>CE</c:v>
                </c:pt>
                <c:pt idx="4">
                  <c:v>SE</c:v>
                </c:pt>
                <c:pt idx="5">
                  <c:v>BA</c:v>
                </c:pt>
                <c:pt idx="6">
                  <c:v>RJ</c:v>
                </c:pt>
                <c:pt idx="7">
                  <c:v>TO</c:v>
                </c:pt>
                <c:pt idx="8">
                  <c:v>PA</c:v>
                </c:pt>
                <c:pt idx="9">
                  <c:v>ES</c:v>
                </c:pt>
                <c:pt idx="10">
                  <c:v>MS</c:v>
                </c:pt>
                <c:pt idx="11">
                  <c:v>PB</c:v>
                </c:pt>
                <c:pt idx="12">
                  <c:v>RN</c:v>
                </c:pt>
                <c:pt idx="13">
                  <c:v>PE</c:v>
                </c:pt>
                <c:pt idx="14">
                  <c:v>SC</c:v>
                </c:pt>
                <c:pt idx="15">
                  <c:v>GO</c:v>
                </c:pt>
                <c:pt idx="16">
                  <c:v>RS</c:v>
                </c:pt>
                <c:pt idx="17">
                  <c:v>DF</c:v>
                </c:pt>
                <c:pt idx="18">
                  <c:v>MT</c:v>
                </c:pt>
                <c:pt idx="19">
                  <c:v>SP</c:v>
                </c:pt>
                <c:pt idx="20">
                  <c:v>MG</c:v>
                </c:pt>
                <c:pt idx="21">
                  <c:v>PR</c:v>
                </c:pt>
                <c:pt idx="22">
                  <c:v>AM</c:v>
                </c:pt>
                <c:pt idx="23">
                  <c:v>RO</c:v>
                </c:pt>
              </c:strCache>
            </c:strRef>
          </c:cat>
          <c:val>
            <c:numRef>
              <c:f>'Delivery by State'!$H$2:$H$25</c:f>
              <c:numCache>
                <c:formatCode>General</c:formatCode>
                <c:ptCount val="24"/>
                <c:pt idx="0">
                  <c:v>16</c:v>
                </c:pt>
                <c:pt idx="1">
                  <c:v>16.2</c:v>
                </c:pt>
                <c:pt idx="2">
                  <c:v>13</c:v>
                </c:pt>
                <c:pt idx="3">
                  <c:v>13.8</c:v>
                </c:pt>
                <c:pt idx="4">
                  <c:v>15.5</c:v>
                </c:pt>
                <c:pt idx="5">
                  <c:v>13.7</c:v>
                </c:pt>
                <c:pt idx="6">
                  <c:v>15.2</c:v>
                </c:pt>
                <c:pt idx="7">
                  <c:v>8</c:v>
                </c:pt>
                <c:pt idx="8">
                  <c:v>14.9</c:v>
                </c:pt>
                <c:pt idx="9">
                  <c:v>11.8</c:v>
                </c:pt>
                <c:pt idx="10">
                  <c:v>10.1</c:v>
                </c:pt>
                <c:pt idx="11">
                  <c:v>11.4</c:v>
                </c:pt>
                <c:pt idx="12">
                  <c:v>10.7</c:v>
                </c:pt>
                <c:pt idx="13">
                  <c:v>11.8</c:v>
                </c:pt>
                <c:pt idx="14">
                  <c:v>10.3</c:v>
                </c:pt>
                <c:pt idx="15">
                  <c:v>10.199999999999999</c:v>
                </c:pt>
                <c:pt idx="16">
                  <c:v>9.1</c:v>
                </c:pt>
                <c:pt idx="17">
                  <c:v>10.3</c:v>
                </c:pt>
                <c:pt idx="18">
                  <c:v>9.3000000000000007</c:v>
                </c:pt>
                <c:pt idx="19">
                  <c:v>8.1</c:v>
                </c:pt>
                <c:pt idx="20">
                  <c:v>9.3000000000000007</c:v>
                </c:pt>
                <c:pt idx="21">
                  <c:v>8.3000000000000007</c:v>
                </c:pt>
                <c:pt idx="22">
                  <c:v>7.5</c:v>
                </c:pt>
                <c:pt idx="2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5-4711-9588-71EF4BEA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537567"/>
        <c:axId val="1244538047"/>
      </c:barChart>
      <c:catAx>
        <c:axId val="12445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38047"/>
        <c:crosses val="autoZero"/>
        <c:auto val="1"/>
        <c:lblAlgn val="ctr"/>
        <c:lblOffset val="100"/>
        <c:noMultiLvlLbl val="0"/>
      </c:catAx>
      <c:valAx>
        <c:axId val="124453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- Late vs On Time Deliveries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 vs OnTime Reviews'!$A$1</c:f>
              <c:strCache>
                <c:ptCount val="1"/>
                <c:pt idx="0">
                  <c:v>Review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'Late vs OnTime Reviews'!$A$2:$A$6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6-4ABA-96CE-3C689A812D00}"/>
            </c:ext>
          </c:extLst>
        </c:ser>
        <c:ser>
          <c:idx val="1"/>
          <c:order val="1"/>
          <c:tx>
            <c:strRef>
              <c:f>'Late vs OnTime Reviews'!$D$1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'Late vs OnTime Reviews'!$D$2:$D$6</c:f>
              <c:numCache>
                <c:formatCode>General</c:formatCode>
                <c:ptCount val="5"/>
                <c:pt idx="0">
                  <c:v>46.7</c:v>
                </c:pt>
                <c:pt idx="1">
                  <c:v>7.9</c:v>
                </c:pt>
                <c:pt idx="2">
                  <c:v>11.3</c:v>
                </c:pt>
                <c:pt idx="3">
                  <c:v>12.2</c:v>
                </c:pt>
                <c:pt idx="4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96-4ABA-96CE-3C689A812D00}"/>
            </c:ext>
          </c:extLst>
        </c:ser>
        <c:ser>
          <c:idx val="2"/>
          <c:order val="2"/>
          <c:tx>
            <c:strRef>
              <c:f>'Late vs OnTime Reviews'!$E$1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'Late vs OnTime Reviews'!$E$2:$E$6</c:f>
              <c:numCache>
                <c:formatCode>General</c:formatCode>
                <c:ptCount val="5"/>
                <c:pt idx="0">
                  <c:v>6.8</c:v>
                </c:pt>
                <c:pt idx="1">
                  <c:v>2.7</c:v>
                </c:pt>
                <c:pt idx="2">
                  <c:v>8</c:v>
                </c:pt>
                <c:pt idx="3">
                  <c:v>20.3</c:v>
                </c:pt>
                <c:pt idx="4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96-4ABA-96CE-3C689A812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839872"/>
        <c:axId val="2047841312"/>
      </c:barChart>
      <c:catAx>
        <c:axId val="204783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41312"/>
        <c:crosses val="autoZero"/>
        <c:auto val="1"/>
        <c:lblAlgn val="ctr"/>
        <c:lblOffset val="100"/>
        <c:noMultiLvlLbl val="0"/>
      </c:catAx>
      <c:valAx>
        <c:axId val="204784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3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r>
              <a:rPr lang="en-US" baseline="0"/>
              <a:t> Star Rate vs Late Rate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Category'!$G$1</c:f>
              <c:strCache>
                <c:ptCount val="1"/>
                <c:pt idx="0">
                  <c:v>1-Star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Category'!$A$2:$A$21</c:f>
              <c:strCache>
                <c:ptCount val="2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audio</c:v>
                </c:pt>
                <c:pt idx="9">
                  <c:v>garden_tools</c:v>
                </c:pt>
                <c:pt idx="10">
                  <c:v>toys</c:v>
                </c:pt>
                <c:pt idx="11">
                  <c:v>baby</c:v>
                </c:pt>
                <c:pt idx="12">
                  <c:v>perfumery</c:v>
                </c:pt>
                <c:pt idx="13">
                  <c:v>telephony</c:v>
                </c:pt>
                <c:pt idx="14">
                  <c:v>office_furniture</c:v>
                </c:pt>
                <c:pt idx="15">
                  <c:v>stationery</c:v>
                </c:pt>
                <c:pt idx="16">
                  <c:v>computers</c:v>
                </c:pt>
                <c:pt idx="17">
                  <c:v>pet_shop</c:v>
                </c:pt>
                <c:pt idx="18">
                  <c:v>small_appliances</c:v>
                </c:pt>
                <c:pt idx="19">
                  <c:v>musical_instruments</c:v>
                </c:pt>
              </c:strCache>
            </c:strRef>
          </c:cat>
          <c:val>
            <c:numRef>
              <c:f>'Product Category'!$G$2:$G$21</c:f>
              <c:numCache>
                <c:formatCode>General</c:formatCode>
                <c:ptCount val="20"/>
                <c:pt idx="0">
                  <c:v>10.4</c:v>
                </c:pt>
                <c:pt idx="1">
                  <c:v>11.7</c:v>
                </c:pt>
                <c:pt idx="2">
                  <c:v>14.4</c:v>
                </c:pt>
                <c:pt idx="3">
                  <c:v>10.7</c:v>
                </c:pt>
                <c:pt idx="4">
                  <c:v>13.8</c:v>
                </c:pt>
                <c:pt idx="5">
                  <c:v>14.1</c:v>
                </c:pt>
                <c:pt idx="6">
                  <c:v>9.1</c:v>
                </c:pt>
                <c:pt idx="7">
                  <c:v>11</c:v>
                </c:pt>
                <c:pt idx="8">
                  <c:v>16.5</c:v>
                </c:pt>
                <c:pt idx="9">
                  <c:v>12.1</c:v>
                </c:pt>
                <c:pt idx="10">
                  <c:v>10.199999999999999</c:v>
                </c:pt>
                <c:pt idx="11">
                  <c:v>11.9</c:v>
                </c:pt>
                <c:pt idx="12">
                  <c:v>10.199999999999999</c:v>
                </c:pt>
                <c:pt idx="13">
                  <c:v>11.8</c:v>
                </c:pt>
                <c:pt idx="14">
                  <c:v>20.5</c:v>
                </c:pt>
                <c:pt idx="15">
                  <c:v>8.6999999999999993</c:v>
                </c:pt>
                <c:pt idx="16">
                  <c:v>11.6</c:v>
                </c:pt>
                <c:pt idx="17">
                  <c:v>9.1999999999999993</c:v>
                </c:pt>
                <c:pt idx="18">
                  <c:v>9.8000000000000007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6-4F2E-A246-BE88BE97FF04}"/>
            </c:ext>
          </c:extLst>
        </c:ser>
        <c:ser>
          <c:idx val="1"/>
          <c:order val="1"/>
          <c:tx>
            <c:strRef>
              <c:f>'Product Category'!$H$1</c:f>
              <c:strCache>
                <c:ptCount val="1"/>
                <c:pt idx="0">
                  <c:v>Late Rate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Category'!$A$2:$A$21</c:f>
              <c:strCache>
                <c:ptCount val="2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audio</c:v>
                </c:pt>
                <c:pt idx="9">
                  <c:v>garden_tools</c:v>
                </c:pt>
                <c:pt idx="10">
                  <c:v>toys</c:v>
                </c:pt>
                <c:pt idx="11">
                  <c:v>baby</c:v>
                </c:pt>
                <c:pt idx="12">
                  <c:v>perfumery</c:v>
                </c:pt>
                <c:pt idx="13">
                  <c:v>telephony</c:v>
                </c:pt>
                <c:pt idx="14">
                  <c:v>office_furniture</c:v>
                </c:pt>
                <c:pt idx="15">
                  <c:v>stationery</c:v>
                </c:pt>
                <c:pt idx="16">
                  <c:v>computers</c:v>
                </c:pt>
                <c:pt idx="17">
                  <c:v>pet_shop</c:v>
                </c:pt>
                <c:pt idx="18">
                  <c:v>small_appliances</c:v>
                </c:pt>
                <c:pt idx="19">
                  <c:v>musical_instruments</c:v>
                </c:pt>
              </c:strCache>
            </c:strRef>
          </c:cat>
          <c:val>
            <c:numRef>
              <c:f>'Product Category'!$H$2:$H$21</c:f>
              <c:numCache>
                <c:formatCode>General</c:formatCode>
                <c:ptCount val="20"/>
                <c:pt idx="0">
                  <c:v>9.1</c:v>
                </c:pt>
                <c:pt idx="1">
                  <c:v>8.3000000000000007</c:v>
                </c:pt>
                <c:pt idx="2">
                  <c:v>8.4</c:v>
                </c:pt>
                <c:pt idx="3">
                  <c:v>7.4</c:v>
                </c:pt>
                <c:pt idx="4">
                  <c:v>7.7</c:v>
                </c:pt>
                <c:pt idx="5">
                  <c:v>8.4</c:v>
                </c:pt>
                <c:pt idx="6">
                  <c:v>6.8</c:v>
                </c:pt>
                <c:pt idx="7">
                  <c:v>6.5</c:v>
                </c:pt>
                <c:pt idx="8">
                  <c:v>12.7</c:v>
                </c:pt>
                <c:pt idx="9">
                  <c:v>8</c:v>
                </c:pt>
                <c:pt idx="10">
                  <c:v>7.5</c:v>
                </c:pt>
                <c:pt idx="11">
                  <c:v>8.8000000000000007</c:v>
                </c:pt>
                <c:pt idx="12">
                  <c:v>7.3</c:v>
                </c:pt>
                <c:pt idx="13">
                  <c:v>8.3000000000000007</c:v>
                </c:pt>
                <c:pt idx="14">
                  <c:v>8.9</c:v>
                </c:pt>
                <c:pt idx="15">
                  <c:v>8.1</c:v>
                </c:pt>
                <c:pt idx="16">
                  <c:v>6.5</c:v>
                </c:pt>
                <c:pt idx="17">
                  <c:v>6.1</c:v>
                </c:pt>
                <c:pt idx="18">
                  <c:v>5.9</c:v>
                </c:pt>
                <c:pt idx="19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6-4F2E-A246-BE88BE97F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808672"/>
        <c:axId val="2047802912"/>
      </c:barChart>
      <c:catAx>
        <c:axId val="204780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02912"/>
        <c:crosses val="autoZero"/>
        <c:auto val="1"/>
        <c:lblAlgn val="ctr"/>
        <c:lblOffset val="100"/>
        <c:noMultiLvlLbl val="0"/>
      </c:catAx>
      <c:valAx>
        <c:axId val="20478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0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599514</xdr:colOff>
      <xdr:row>1</xdr:row>
      <xdr:rowOff>1120</xdr:rowOff>
    </xdr:from>
    <xdr:to>
      <xdr:col>16</xdr:col>
      <xdr:colOff>330573</xdr:colOff>
      <xdr:row>15</xdr:row>
      <xdr:rowOff>77320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844478-FE7C-E9A2-6D56-00CAEA5B1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223837</xdr:colOff>
      <xdr:row>6</xdr:row>
      <xdr:rowOff>80962</xdr:rowOff>
    </xdr:from>
    <xdr:to>
      <xdr:col>4</xdr:col>
      <xdr:colOff>585787</xdr:colOff>
      <xdr:row>20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A7018-EFB8-1046-6F7E-FA620FBBC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3</xdr:row>
      <xdr:rowOff>119062</xdr:rowOff>
    </xdr:from>
    <xdr:to>
      <xdr:col>16</xdr:col>
      <xdr:colOff>38100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78878-AD9E-D473-CD31-92F75A3C3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"/>
    </sheetView>
  </sheetViews>
  <sheetFormatPr defaultRowHeight="15" x14ac:dyDescent="0.25"/>
  <cols>
    <col min="1" max="1" width="24.85546875" customWidth="1"/>
    <col min="2" max="2" width="14.140625" customWidth="1"/>
    <col min="3" max="3" width="3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16008872.119999999</v>
      </c>
      <c r="C2" t="s">
        <v>4</v>
      </c>
    </row>
    <row r="3" spans="1:3" x14ac:dyDescent="0.25">
      <c r="A3" t="s">
        <v>5</v>
      </c>
      <c r="B3">
        <v>96470</v>
      </c>
      <c r="C3" t="s">
        <v>6</v>
      </c>
    </row>
    <row r="4" spans="1:3" x14ac:dyDescent="0.25">
      <c r="A4" t="s">
        <v>7</v>
      </c>
      <c r="B4">
        <v>96096</v>
      </c>
      <c r="C4" t="s">
        <v>8</v>
      </c>
    </row>
    <row r="5" spans="1:3" x14ac:dyDescent="0.25">
      <c r="A5" t="s">
        <v>9</v>
      </c>
      <c r="B5">
        <v>3095</v>
      </c>
      <c r="C5" t="s">
        <v>10</v>
      </c>
    </row>
    <row r="6" spans="1:3" x14ac:dyDescent="0.25">
      <c r="A6" t="s">
        <v>11</v>
      </c>
      <c r="B6">
        <v>7826</v>
      </c>
      <c r="C6" t="s">
        <v>12</v>
      </c>
    </row>
    <row r="7" spans="1:3" x14ac:dyDescent="0.25">
      <c r="A7" t="s">
        <v>13</v>
      </c>
      <c r="B7">
        <v>8.1</v>
      </c>
      <c r="C7" t="s">
        <v>14</v>
      </c>
    </row>
    <row r="8" spans="1:3" x14ac:dyDescent="0.25">
      <c r="A8" t="s">
        <v>15</v>
      </c>
      <c r="B8">
        <v>4.07</v>
      </c>
      <c r="C8" t="s">
        <v>16</v>
      </c>
    </row>
    <row r="9" spans="1:3" x14ac:dyDescent="0.25">
      <c r="A9" t="s">
        <v>17</v>
      </c>
      <c r="B9">
        <v>11858</v>
      </c>
      <c r="C9" t="s">
        <v>18</v>
      </c>
    </row>
    <row r="10" spans="1:3" x14ac:dyDescent="0.25">
      <c r="A10" t="s">
        <v>19</v>
      </c>
      <c r="B10">
        <v>11.9</v>
      </c>
      <c r="C1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="85" zoomScaleNormal="85" workbookViewId="0">
      <selection activeCell="F30" sqref="F30"/>
    </sheetView>
  </sheetViews>
  <sheetFormatPr defaultRowHeight="15" x14ac:dyDescent="0.25"/>
  <cols>
    <col min="1" max="1" width="13.140625" customWidth="1"/>
    <col min="2" max="2" width="12.85546875" customWidth="1"/>
    <col min="3" max="3" width="12.140625" customWidth="1"/>
    <col min="4" max="4" width="13.28515625" customWidth="1"/>
    <col min="5" max="5" width="17.140625" customWidth="1"/>
    <col min="6" max="6" width="12" customWidth="1"/>
    <col min="7" max="7" width="13.140625" customWidth="1"/>
    <col min="8" max="8" width="14.5703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t="s">
        <v>28</v>
      </c>
      <c r="B2">
        <v>401</v>
      </c>
      <c r="C2">
        <v>96</v>
      </c>
      <c r="D2">
        <v>2</v>
      </c>
      <c r="E2">
        <v>3.82</v>
      </c>
      <c r="F2">
        <v>64</v>
      </c>
      <c r="G2">
        <v>23.9</v>
      </c>
      <c r="H2">
        <v>16</v>
      </c>
    </row>
    <row r="3" spans="1:8" x14ac:dyDescent="0.25">
      <c r="A3" t="s">
        <v>29</v>
      </c>
      <c r="B3">
        <v>721</v>
      </c>
      <c r="C3">
        <v>141</v>
      </c>
      <c r="D3">
        <v>1.8</v>
      </c>
      <c r="E3">
        <v>3.82</v>
      </c>
      <c r="F3">
        <v>117</v>
      </c>
      <c r="G3">
        <v>19.600000000000001</v>
      </c>
      <c r="H3">
        <v>16.2</v>
      </c>
    </row>
    <row r="4" spans="1:8" x14ac:dyDescent="0.25">
      <c r="A4" t="s">
        <v>30</v>
      </c>
      <c r="B4">
        <v>477</v>
      </c>
      <c r="C4">
        <v>76</v>
      </c>
      <c r="D4">
        <v>1.8</v>
      </c>
      <c r="E4">
        <v>3.98</v>
      </c>
      <c r="F4">
        <v>62</v>
      </c>
      <c r="G4">
        <v>15.9</v>
      </c>
      <c r="H4">
        <v>13</v>
      </c>
    </row>
    <row r="5" spans="1:8" x14ac:dyDescent="0.25">
      <c r="A5" t="s">
        <v>31</v>
      </c>
      <c r="B5">
        <v>1282</v>
      </c>
      <c r="C5">
        <v>197</v>
      </c>
      <c r="D5">
        <v>2.1</v>
      </c>
      <c r="E5">
        <v>3.93</v>
      </c>
      <c r="F5">
        <v>177</v>
      </c>
      <c r="G5">
        <v>15.4</v>
      </c>
      <c r="H5">
        <v>13.8</v>
      </c>
    </row>
    <row r="6" spans="1:8" x14ac:dyDescent="0.25">
      <c r="A6" t="s">
        <v>32</v>
      </c>
      <c r="B6">
        <v>335</v>
      </c>
      <c r="C6">
        <v>51</v>
      </c>
      <c r="D6">
        <v>2.5</v>
      </c>
      <c r="E6">
        <v>3.9</v>
      </c>
      <c r="F6">
        <v>52</v>
      </c>
      <c r="G6">
        <v>15.2</v>
      </c>
      <c r="H6">
        <v>15.5</v>
      </c>
    </row>
    <row r="7" spans="1:8" x14ac:dyDescent="0.25">
      <c r="A7" t="s">
        <v>33</v>
      </c>
      <c r="B7">
        <v>3274</v>
      </c>
      <c r="C7">
        <v>461</v>
      </c>
      <c r="D7">
        <v>1.5</v>
      </c>
      <c r="E7">
        <v>3.91</v>
      </c>
      <c r="F7">
        <v>447</v>
      </c>
      <c r="G7">
        <v>14.1</v>
      </c>
      <c r="H7">
        <v>13.7</v>
      </c>
    </row>
    <row r="8" spans="1:8" x14ac:dyDescent="0.25">
      <c r="A8" t="s">
        <v>34</v>
      </c>
      <c r="B8">
        <v>12420</v>
      </c>
      <c r="C8">
        <v>1674</v>
      </c>
      <c r="D8">
        <v>1.6</v>
      </c>
      <c r="E8">
        <v>3.95</v>
      </c>
      <c r="F8">
        <v>1885</v>
      </c>
      <c r="G8">
        <v>13.5</v>
      </c>
      <c r="H8">
        <v>15.2</v>
      </c>
    </row>
    <row r="9" spans="1:8" x14ac:dyDescent="0.25">
      <c r="A9" t="s">
        <v>35</v>
      </c>
      <c r="B9">
        <v>274</v>
      </c>
      <c r="C9">
        <v>35</v>
      </c>
      <c r="D9">
        <v>0.6</v>
      </c>
      <c r="E9">
        <v>4.16</v>
      </c>
      <c r="F9">
        <v>22</v>
      </c>
      <c r="G9">
        <v>12.8</v>
      </c>
      <c r="H9">
        <v>8</v>
      </c>
    </row>
    <row r="10" spans="1:8" x14ac:dyDescent="0.25">
      <c r="A10" t="s">
        <v>36</v>
      </c>
      <c r="B10">
        <v>953</v>
      </c>
      <c r="C10">
        <v>117</v>
      </c>
      <c r="D10">
        <v>1.4</v>
      </c>
      <c r="E10">
        <v>3.89</v>
      </c>
      <c r="F10">
        <v>142</v>
      </c>
      <c r="G10">
        <v>12.3</v>
      </c>
      <c r="H10">
        <v>14.9</v>
      </c>
    </row>
    <row r="11" spans="1:8" x14ac:dyDescent="0.25">
      <c r="A11" t="s">
        <v>37</v>
      </c>
      <c r="B11">
        <v>2004</v>
      </c>
      <c r="C11">
        <v>245</v>
      </c>
      <c r="D11">
        <v>1.2</v>
      </c>
      <c r="E11">
        <v>4.05</v>
      </c>
      <c r="F11">
        <v>236</v>
      </c>
      <c r="G11">
        <v>12.2</v>
      </c>
      <c r="H11">
        <v>11.8</v>
      </c>
    </row>
    <row r="12" spans="1:8" x14ac:dyDescent="0.25">
      <c r="A12" t="s">
        <v>38</v>
      </c>
      <c r="B12">
        <v>712</v>
      </c>
      <c r="C12">
        <v>82</v>
      </c>
      <c r="D12">
        <v>0.8</v>
      </c>
      <c r="E12">
        <v>4.17</v>
      </c>
      <c r="F12">
        <v>72</v>
      </c>
      <c r="G12">
        <v>11.5</v>
      </c>
      <c r="H12">
        <v>10.1</v>
      </c>
    </row>
    <row r="13" spans="1:8" x14ac:dyDescent="0.25">
      <c r="A13" t="s">
        <v>39</v>
      </c>
      <c r="B13">
        <v>518</v>
      </c>
      <c r="C13">
        <v>57</v>
      </c>
      <c r="D13">
        <v>1.1000000000000001</v>
      </c>
      <c r="E13">
        <v>4.0599999999999996</v>
      </c>
      <c r="F13">
        <v>59</v>
      </c>
      <c r="G13">
        <v>11</v>
      </c>
      <c r="H13">
        <v>11.4</v>
      </c>
    </row>
    <row r="14" spans="1:8" x14ac:dyDescent="0.25">
      <c r="A14" t="s">
        <v>40</v>
      </c>
      <c r="B14">
        <v>476</v>
      </c>
      <c r="C14">
        <v>51</v>
      </c>
      <c r="D14">
        <v>1.3</v>
      </c>
      <c r="E14">
        <v>4.13</v>
      </c>
      <c r="F14">
        <v>51</v>
      </c>
      <c r="G14">
        <v>10.7</v>
      </c>
      <c r="H14">
        <v>10.7</v>
      </c>
    </row>
    <row r="15" spans="1:8" x14ac:dyDescent="0.25">
      <c r="A15" t="s">
        <v>41</v>
      </c>
      <c r="B15">
        <v>1606</v>
      </c>
      <c r="C15">
        <v>172</v>
      </c>
      <c r="D15">
        <v>1.1000000000000001</v>
      </c>
      <c r="E15">
        <v>4.07</v>
      </c>
      <c r="F15">
        <v>189</v>
      </c>
      <c r="G15">
        <v>10.7</v>
      </c>
      <c r="H15">
        <v>11.8</v>
      </c>
    </row>
    <row r="16" spans="1:8" x14ac:dyDescent="0.25">
      <c r="A16" t="s">
        <v>42</v>
      </c>
      <c r="B16">
        <v>3560</v>
      </c>
      <c r="C16">
        <v>348</v>
      </c>
      <c r="D16">
        <v>0.7</v>
      </c>
      <c r="E16">
        <v>4.1100000000000003</v>
      </c>
      <c r="F16">
        <v>366</v>
      </c>
      <c r="G16">
        <v>9.8000000000000007</v>
      </c>
      <c r="H16">
        <v>10.3</v>
      </c>
    </row>
    <row r="17" spans="1:8" x14ac:dyDescent="0.25">
      <c r="A17" t="s">
        <v>43</v>
      </c>
      <c r="B17">
        <v>1974</v>
      </c>
      <c r="C17">
        <v>162</v>
      </c>
      <c r="D17">
        <v>0.7</v>
      </c>
      <c r="E17">
        <v>4.09</v>
      </c>
      <c r="F17">
        <v>201</v>
      </c>
      <c r="G17">
        <v>8.1999999999999993</v>
      </c>
      <c r="H17">
        <v>10.199999999999999</v>
      </c>
    </row>
    <row r="18" spans="1:8" x14ac:dyDescent="0.25">
      <c r="A18" t="s">
        <v>44</v>
      </c>
      <c r="B18">
        <v>5382</v>
      </c>
      <c r="C18">
        <v>386</v>
      </c>
      <c r="D18">
        <v>0.6</v>
      </c>
      <c r="E18">
        <v>4.18</v>
      </c>
      <c r="F18">
        <v>488</v>
      </c>
      <c r="G18">
        <v>7.2</v>
      </c>
      <c r="H18">
        <v>9.1</v>
      </c>
    </row>
    <row r="19" spans="1:8" x14ac:dyDescent="0.25">
      <c r="A19" t="s">
        <v>45</v>
      </c>
      <c r="B19">
        <v>2099</v>
      </c>
      <c r="C19">
        <v>149</v>
      </c>
      <c r="D19">
        <v>0.4</v>
      </c>
      <c r="E19">
        <v>4.13</v>
      </c>
      <c r="F19">
        <v>216</v>
      </c>
      <c r="G19">
        <v>7.1</v>
      </c>
      <c r="H19">
        <v>10.3</v>
      </c>
    </row>
    <row r="20" spans="1:8" x14ac:dyDescent="0.25">
      <c r="A20" t="s">
        <v>46</v>
      </c>
      <c r="B20">
        <v>889</v>
      </c>
      <c r="C20">
        <v>60</v>
      </c>
      <c r="D20">
        <v>0.6</v>
      </c>
      <c r="E20">
        <v>4.13</v>
      </c>
      <c r="F20">
        <v>83</v>
      </c>
      <c r="G20">
        <v>6.7</v>
      </c>
      <c r="H20">
        <v>9.3000000000000007</v>
      </c>
    </row>
    <row r="21" spans="1:8" x14ac:dyDescent="0.25">
      <c r="A21" t="s">
        <v>47</v>
      </c>
      <c r="B21">
        <v>40708</v>
      </c>
      <c r="C21">
        <v>2393</v>
      </c>
      <c r="D21">
        <v>0.4</v>
      </c>
      <c r="E21">
        <v>4.2300000000000004</v>
      </c>
      <c r="F21">
        <v>3317</v>
      </c>
      <c r="G21">
        <v>5.9</v>
      </c>
      <c r="H21">
        <v>8.1</v>
      </c>
    </row>
    <row r="22" spans="1:8" x14ac:dyDescent="0.25">
      <c r="A22" t="s">
        <v>48</v>
      </c>
      <c r="B22">
        <v>11423</v>
      </c>
      <c r="C22">
        <v>640</v>
      </c>
      <c r="D22">
        <v>0.4</v>
      </c>
      <c r="E22">
        <v>4.18</v>
      </c>
      <c r="F22">
        <v>1058</v>
      </c>
      <c r="G22">
        <v>5.6</v>
      </c>
      <c r="H22">
        <v>9.3000000000000007</v>
      </c>
    </row>
    <row r="23" spans="1:8" x14ac:dyDescent="0.25">
      <c r="A23" t="s">
        <v>49</v>
      </c>
      <c r="B23">
        <v>4942</v>
      </c>
      <c r="C23">
        <v>248</v>
      </c>
      <c r="D23">
        <v>0.3</v>
      </c>
      <c r="E23">
        <v>4.2300000000000004</v>
      </c>
      <c r="F23">
        <v>408</v>
      </c>
      <c r="G23">
        <v>5</v>
      </c>
      <c r="H23">
        <v>8.3000000000000007</v>
      </c>
    </row>
    <row r="24" spans="1:8" x14ac:dyDescent="0.25">
      <c r="A24" t="s">
        <v>50</v>
      </c>
      <c r="B24">
        <v>146</v>
      </c>
      <c r="C24">
        <v>6</v>
      </c>
      <c r="D24">
        <v>0.8</v>
      </c>
      <c r="E24">
        <v>4.21</v>
      </c>
      <c r="F24">
        <v>11</v>
      </c>
      <c r="G24">
        <v>4.0999999999999996</v>
      </c>
      <c r="H24">
        <v>7.5</v>
      </c>
    </row>
    <row r="25" spans="1:8" x14ac:dyDescent="0.25">
      <c r="A25" t="s">
        <v>51</v>
      </c>
      <c r="B25">
        <v>243</v>
      </c>
      <c r="C25">
        <v>7</v>
      </c>
      <c r="D25">
        <v>0.2</v>
      </c>
      <c r="E25">
        <v>4.17</v>
      </c>
      <c r="F25">
        <v>17</v>
      </c>
      <c r="G25">
        <v>2.9</v>
      </c>
      <c r="H25">
        <v>7</v>
      </c>
    </row>
  </sheetData>
  <sortState xmlns:xlrd2="http://schemas.microsoft.com/office/spreadsheetml/2017/richdata2" ref="A2:H25">
    <sortCondition descending="1" ref="G2:G25"/>
  </sortState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1" sqref="B1"/>
    </sheetView>
  </sheetViews>
  <sheetFormatPr defaultRowHeight="15" x14ac:dyDescent="0.25"/>
  <cols>
    <col min="1" max="1" width="12.85546875" customWidth="1"/>
    <col min="3" max="3" width="16.140625" customWidth="1"/>
    <col min="4" max="4" width="13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>
        <v>1</v>
      </c>
      <c r="B2">
        <v>11858</v>
      </c>
      <c r="C2">
        <v>11.9</v>
      </c>
      <c r="D2" t="s">
        <v>56</v>
      </c>
    </row>
    <row r="3" spans="1:4" x14ac:dyDescent="0.25">
      <c r="A3">
        <v>2</v>
      </c>
      <c r="B3">
        <v>3235</v>
      </c>
      <c r="C3">
        <v>3.2</v>
      </c>
      <c r="D3" t="s">
        <v>57</v>
      </c>
    </row>
    <row r="4" spans="1:4" x14ac:dyDescent="0.25">
      <c r="A4">
        <v>3</v>
      </c>
      <c r="B4">
        <v>8287</v>
      </c>
      <c r="C4">
        <v>8.3000000000000007</v>
      </c>
      <c r="D4" t="s">
        <v>58</v>
      </c>
    </row>
    <row r="5" spans="1:4" x14ac:dyDescent="0.25">
      <c r="A5">
        <v>4</v>
      </c>
      <c r="B5">
        <v>19200</v>
      </c>
      <c r="C5">
        <v>19.2</v>
      </c>
      <c r="D5" t="s">
        <v>59</v>
      </c>
    </row>
    <row r="6" spans="1:4" x14ac:dyDescent="0.25">
      <c r="A6">
        <v>5</v>
      </c>
      <c r="B6">
        <v>57420</v>
      </c>
      <c r="C6">
        <v>57.4</v>
      </c>
      <c r="D6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H12" sqref="H12"/>
    </sheetView>
  </sheetViews>
  <sheetFormatPr defaultRowHeight="15" x14ac:dyDescent="0.25"/>
  <cols>
    <col min="1" max="1" width="13.7109375" customWidth="1"/>
    <col min="2" max="2" width="17.85546875" customWidth="1"/>
    <col min="3" max="3" width="21.140625" customWidth="1"/>
    <col min="4" max="4" width="10.42578125" customWidth="1"/>
    <col min="5" max="5" width="10.7109375" customWidth="1"/>
  </cols>
  <sheetData>
    <row r="1" spans="1:5" x14ac:dyDescent="0.25">
      <c r="A1" t="s">
        <v>52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>
        <v>1</v>
      </c>
      <c r="B2">
        <v>3671</v>
      </c>
      <c r="C2">
        <v>6082</v>
      </c>
      <c r="D2">
        <v>46.7</v>
      </c>
      <c r="E2">
        <v>6.8</v>
      </c>
    </row>
    <row r="3" spans="1:5" x14ac:dyDescent="0.25">
      <c r="A3">
        <v>2</v>
      </c>
      <c r="B3">
        <v>623</v>
      </c>
      <c r="C3">
        <v>2392</v>
      </c>
      <c r="D3">
        <v>7.9</v>
      </c>
      <c r="E3">
        <v>2.7</v>
      </c>
    </row>
    <row r="4" spans="1:5" x14ac:dyDescent="0.25">
      <c r="A4">
        <v>3</v>
      </c>
      <c r="B4">
        <v>892</v>
      </c>
      <c r="C4">
        <v>7164</v>
      </c>
      <c r="D4">
        <v>11.3</v>
      </c>
      <c r="E4">
        <v>8</v>
      </c>
    </row>
    <row r="5" spans="1:5" x14ac:dyDescent="0.25">
      <c r="A5">
        <v>4</v>
      </c>
      <c r="B5">
        <v>960</v>
      </c>
      <c r="C5">
        <v>18080</v>
      </c>
      <c r="D5">
        <v>12.2</v>
      </c>
      <c r="E5">
        <v>20.3</v>
      </c>
    </row>
    <row r="6" spans="1:5" x14ac:dyDescent="0.25">
      <c r="A6">
        <v>5</v>
      </c>
      <c r="B6">
        <v>1719</v>
      </c>
      <c r="C6">
        <v>55424</v>
      </c>
      <c r="D6">
        <v>21.9</v>
      </c>
      <c r="E6">
        <v>62.2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G31" sqref="G31"/>
    </sheetView>
  </sheetViews>
  <sheetFormatPr defaultRowHeight="15" x14ac:dyDescent="0.25"/>
  <cols>
    <col min="1" max="1" width="19.28515625" customWidth="1"/>
    <col min="2" max="2" width="13" customWidth="1"/>
    <col min="3" max="3" width="16.28515625" customWidth="1"/>
    <col min="4" max="4" width="11.5703125" customWidth="1"/>
    <col min="5" max="6" width="11.7109375" customWidth="1"/>
    <col min="7" max="7" width="13.28515625" customWidth="1"/>
    <col min="8" max="8" width="12.5703125" customWidth="1"/>
  </cols>
  <sheetData>
    <row r="1" spans="1:8" x14ac:dyDescent="0.25">
      <c r="A1" t="s">
        <v>65</v>
      </c>
      <c r="B1" t="s">
        <v>21</v>
      </c>
      <c r="C1" t="s">
        <v>3</v>
      </c>
      <c r="D1" t="s">
        <v>66</v>
      </c>
      <c r="E1" t="s">
        <v>67</v>
      </c>
      <c r="F1" t="s">
        <v>25</v>
      </c>
      <c r="G1" t="s">
        <v>27</v>
      </c>
      <c r="H1" t="s">
        <v>26</v>
      </c>
    </row>
    <row r="2" spans="1:8" x14ac:dyDescent="0.25">
      <c r="A2" t="s">
        <v>68</v>
      </c>
      <c r="B2">
        <v>9520</v>
      </c>
      <c r="C2">
        <v>1237538.95</v>
      </c>
      <c r="D2">
        <v>129.99</v>
      </c>
      <c r="E2">
        <v>4.18</v>
      </c>
      <c r="F2">
        <v>990</v>
      </c>
      <c r="G2">
        <v>10.4</v>
      </c>
      <c r="H2">
        <v>9.1</v>
      </c>
    </row>
    <row r="3" spans="1:8" x14ac:dyDescent="0.25">
      <c r="A3" t="s">
        <v>69</v>
      </c>
      <c r="B3">
        <v>5867</v>
      </c>
      <c r="C3">
        <v>1166968.6299999999</v>
      </c>
      <c r="D3">
        <v>198.9</v>
      </c>
      <c r="E3">
        <v>4.0599999999999996</v>
      </c>
      <c r="F3">
        <v>684</v>
      </c>
      <c r="G3">
        <v>11.7</v>
      </c>
      <c r="H3">
        <v>8.3000000000000007</v>
      </c>
    </row>
    <row r="4" spans="1:8" x14ac:dyDescent="0.25">
      <c r="A4" t="s">
        <v>70</v>
      </c>
      <c r="B4">
        <v>11109</v>
      </c>
      <c r="C4">
        <v>1037326.58</v>
      </c>
      <c r="D4">
        <v>93.38</v>
      </c>
      <c r="E4">
        <v>3.9</v>
      </c>
      <c r="F4">
        <v>1603</v>
      </c>
      <c r="G4">
        <v>14.4</v>
      </c>
      <c r="H4">
        <v>8.4</v>
      </c>
    </row>
    <row r="5" spans="1:8" x14ac:dyDescent="0.25">
      <c r="A5" t="s">
        <v>71</v>
      </c>
      <c r="B5">
        <v>8489</v>
      </c>
      <c r="C5">
        <v>960038.09</v>
      </c>
      <c r="D5">
        <v>113.09</v>
      </c>
      <c r="E5">
        <v>4.1500000000000004</v>
      </c>
      <c r="F5">
        <v>907</v>
      </c>
      <c r="G5">
        <v>10.7</v>
      </c>
      <c r="H5">
        <v>7.4</v>
      </c>
    </row>
    <row r="6" spans="1:8" x14ac:dyDescent="0.25">
      <c r="A6" t="s">
        <v>72</v>
      </c>
      <c r="B6">
        <v>7708</v>
      </c>
      <c r="C6">
        <v>896213.19</v>
      </c>
      <c r="D6">
        <v>116.27</v>
      </c>
      <c r="E6">
        <v>3.98</v>
      </c>
      <c r="F6">
        <v>1062</v>
      </c>
      <c r="G6">
        <v>13.8</v>
      </c>
      <c r="H6">
        <v>7.7</v>
      </c>
    </row>
    <row r="7" spans="1:8" x14ac:dyDescent="0.25">
      <c r="A7" t="s">
        <v>73</v>
      </c>
      <c r="B7">
        <v>8240</v>
      </c>
      <c r="C7">
        <v>718744.77</v>
      </c>
      <c r="D7">
        <v>87.23</v>
      </c>
      <c r="E7">
        <v>3.93</v>
      </c>
      <c r="F7">
        <v>1162</v>
      </c>
      <c r="G7">
        <v>14.1</v>
      </c>
      <c r="H7">
        <v>8.4</v>
      </c>
    </row>
    <row r="8" spans="1:8" x14ac:dyDescent="0.25">
      <c r="A8" t="s">
        <v>74</v>
      </c>
      <c r="B8">
        <v>3727</v>
      </c>
      <c r="C8">
        <v>612071.86</v>
      </c>
      <c r="D8">
        <v>164.23</v>
      </c>
      <c r="E8">
        <v>4.18</v>
      </c>
      <c r="F8">
        <v>339</v>
      </c>
      <c r="G8">
        <v>9.1</v>
      </c>
      <c r="H8">
        <v>6.8</v>
      </c>
    </row>
    <row r="9" spans="1:8" x14ac:dyDescent="0.25">
      <c r="A9" t="s">
        <v>75</v>
      </c>
      <c r="B9">
        <v>6819</v>
      </c>
      <c r="C9">
        <v>617836.73</v>
      </c>
      <c r="D9">
        <v>90.61</v>
      </c>
      <c r="E9">
        <v>4.0999999999999996</v>
      </c>
      <c r="F9">
        <v>747</v>
      </c>
      <c r="G9">
        <v>11</v>
      </c>
      <c r="H9">
        <v>6.5</v>
      </c>
    </row>
    <row r="10" spans="1:8" x14ac:dyDescent="0.25">
      <c r="A10" t="s">
        <v>87</v>
      </c>
      <c r="B10">
        <v>363</v>
      </c>
      <c r="C10">
        <v>50620.5</v>
      </c>
      <c r="D10">
        <v>139.44999999999999</v>
      </c>
      <c r="E10">
        <v>3.81</v>
      </c>
      <c r="F10">
        <v>60</v>
      </c>
      <c r="G10">
        <v>16.5</v>
      </c>
      <c r="H10">
        <v>12.7</v>
      </c>
    </row>
    <row r="11" spans="1:8" x14ac:dyDescent="0.25">
      <c r="A11" t="s">
        <v>76</v>
      </c>
      <c r="B11">
        <v>4282</v>
      </c>
      <c r="C11">
        <v>471671.27</v>
      </c>
      <c r="D11">
        <v>110.15</v>
      </c>
      <c r="E11">
        <v>4.07</v>
      </c>
      <c r="F11">
        <v>516</v>
      </c>
      <c r="G11">
        <v>12.1</v>
      </c>
      <c r="H11">
        <v>8</v>
      </c>
    </row>
    <row r="12" spans="1:8" x14ac:dyDescent="0.25">
      <c r="A12" t="s">
        <v>77</v>
      </c>
      <c r="B12">
        <v>4037</v>
      </c>
      <c r="C12">
        <v>471920.79</v>
      </c>
      <c r="D12">
        <v>116.9</v>
      </c>
      <c r="E12">
        <v>4.1900000000000004</v>
      </c>
      <c r="F12">
        <v>410</v>
      </c>
      <c r="G12">
        <v>10.199999999999999</v>
      </c>
      <c r="H12">
        <v>7.5</v>
      </c>
    </row>
    <row r="13" spans="1:8" x14ac:dyDescent="0.25">
      <c r="A13" t="s">
        <v>78</v>
      </c>
      <c r="B13">
        <v>2990</v>
      </c>
      <c r="C13">
        <v>400774.42</v>
      </c>
      <c r="D13">
        <v>134.04</v>
      </c>
      <c r="E13">
        <v>4.0599999999999996</v>
      </c>
      <c r="F13">
        <v>356</v>
      </c>
      <c r="G13">
        <v>11.9</v>
      </c>
      <c r="H13">
        <v>8.8000000000000007</v>
      </c>
    </row>
    <row r="14" spans="1:8" x14ac:dyDescent="0.25">
      <c r="A14" t="s">
        <v>79</v>
      </c>
      <c r="B14">
        <v>3355</v>
      </c>
      <c r="C14">
        <v>391175.73</v>
      </c>
      <c r="D14">
        <v>116.59</v>
      </c>
      <c r="E14">
        <v>4.21</v>
      </c>
      <c r="F14">
        <v>342</v>
      </c>
      <c r="G14">
        <v>10.199999999999999</v>
      </c>
      <c r="H14">
        <v>7.3</v>
      </c>
    </row>
    <row r="15" spans="1:8" x14ac:dyDescent="0.25">
      <c r="A15" t="s">
        <v>80</v>
      </c>
      <c r="B15">
        <v>4434</v>
      </c>
      <c r="C15">
        <v>310004.11</v>
      </c>
      <c r="D15">
        <v>69.92</v>
      </c>
      <c r="E15">
        <v>3.99</v>
      </c>
      <c r="F15">
        <v>523</v>
      </c>
      <c r="G15">
        <v>11.8</v>
      </c>
      <c r="H15">
        <v>8.3000000000000007</v>
      </c>
    </row>
    <row r="16" spans="1:8" x14ac:dyDescent="0.25">
      <c r="A16" t="s">
        <v>81</v>
      </c>
      <c r="B16">
        <v>1678</v>
      </c>
      <c r="C16">
        <v>269418.09999999998</v>
      </c>
      <c r="D16">
        <v>160.56</v>
      </c>
      <c r="E16">
        <v>3.51</v>
      </c>
      <c r="F16">
        <v>344</v>
      </c>
      <c r="G16">
        <v>20.5</v>
      </c>
      <c r="H16">
        <v>8.9</v>
      </c>
    </row>
    <row r="17" spans="1:8" x14ac:dyDescent="0.25">
      <c r="A17" t="s">
        <v>82</v>
      </c>
      <c r="B17">
        <v>2474</v>
      </c>
      <c r="C17">
        <v>224145.67</v>
      </c>
      <c r="D17">
        <v>90.6</v>
      </c>
      <c r="E17">
        <v>4.2300000000000004</v>
      </c>
      <c r="F17">
        <v>215</v>
      </c>
      <c r="G17">
        <v>8.6999999999999993</v>
      </c>
      <c r="H17">
        <v>8.1</v>
      </c>
    </row>
    <row r="18" spans="1:8" x14ac:dyDescent="0.25">
      <c r="A18" t="s">
        <v>83</v>
      </c>
      <c r="B18">
        <v>199</v>
      </c>
      <c r="C18">
        <v>218684.14</v>
      </c>
      <c r="D18">
        <v>1098.92</v>
      </c>
      <c r="E18">
        <v>4.1900000000000004</v>
      </c>
      <c r="F18">
        <v>23</v>
      </c>
      <c r="G18">
        <v>11.6</v>
      </c>
      <c r="H18">
        <v>6.5</v>
      </c>
    </row>
    <row r="19" spans="1:8" x14ac:dyDescent="0.25">
      <c r="A19" t="s">
        <v>84</v>
      </c>
      <c r="B19">
        <v>1926</v>
      </c>
      <c r="C19">
        <v>211971.64</v>
      </c>
      <c r="D19">
        <v>110.06</v>
      </c>
      <c r="E19">
        <v>4.21</v>
      </c>
      <c r="F19">
        <v>178</v>
      </c>
      <c r="G19">
        <v>9.1999999999999993</v>
      </c>
      <c r="H19">
        <v>6.1</v>
      </c>
    </row>
    <row r="20" spans="1:8" x14ac:dyDescent="0.25">
      <c r="A20" t="s">
        <v>85</v>
      </c>
      <c r="B20">
        <v>662</v>
      </c>
      <c r="C20">
        <v>183677.02</v>
      </c>
      <c r="D20">
        <v>277.45999999999998</v>
      </c>
      <c r="E20">
        <v>4.2</v>
      </c>
      <c r="F20">
        <v>65</v>
      </c>
      <c r="G20">
        <v>9.8000000000000007</v>
      </c>
      <c r="H20">
        <v>5.9</v>
      </c>
    </row>
    <row r="21" spans="1:8" x14ac:dyDescent="0.25">
      <c r="A21" t="s">
        <v>86</v>
      </c>
      <c r="B21">
        <v>652</v>
      </c>
      <c r="C21">
        <v>184340.64</v>
      </c>
      <c r="D21">
        <v>282.73</v>
      </c>
      <c r="E21">
        <v>4.21</v>
      </c>
      <c r="F21">
        <v>59</v>
      </c>
      <c r="G21">
        <v>9</v>
      </c>
      <c r="H21">
        <v>8.6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Summary</vt:lpstr>
      <vt:lpstr>Delivery by State</vt:lpstr>
      <vt:lpstr>Review Distribution</vt:lpstr>
      <vt:lpstr>Late vs OnTime Reviews</vt:lpstr>
      <vt:lpstr>Product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Li,Fred</cp:lastModifiedBy>
  <dcterms:created xsi:type="dcterms:W3CDTF">2026-05-09T21:49:53Z</dcterms:created>
  <dcterms:modified xsi:type="dcterms:W3CDTF">2026-05-10T01:35:55Z</dcterms:modified>
</cp:coreProperties>
</file>